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D0646C48-9984-4781-9A29-A74DCED71E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Student_Grade">Sheet1!$L$2:$M$7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B62" i="1"/>
  <c r="B60" i="1"/>
  <c r="F51" i="1"/>
  <c r="F52" i="1"/>
  <c r="F53" i="1"/>
  <c r="F54" i="1"/>
  <c r="F44" i="1"/>
  <c r="F45" i="1"/>
  <c r="F46" i="1"/>
  <c r="F43" i="1"/>
  <c r="F36" i="1"/>
  <c r="F37" i="1"/>
  <c r="F38" i="1"/>
  <c r="F35" i="1"/>
  <c r="F28" i="1"/>
  <c r="F29" i="1"/>
  <c r="F30" i="1"/>
  <c r="F27" i="1"/>
  <c r="F20" i="1"/>
  <c r="F21" i="1"/>
  <c r="F22" i="1"/>
  <c r="F19" i="1"/>
  <c r="F12" i="1"/>
  <c r="F13" i="1"/>
  <c r="F14" i="1"/>
  <c r="F11" i="1"/>
</calcChain>
</file>

<file path=xl/sharedStrings.xml><?xml version="1.0" encoding="utf-8"?>
<sst xmlns="http://schemas.openxmlformats.org/spreadsheetml/2006/main" count="169" uniqueCount="48">
  <si>
    <t>Orders Table</t>
  </si>
  <si>
    <t>Products</t>
  </si>
  <si>
    <t>Customers</t>
  </si>
  <si>
    <t>Order_ID</t>
  </si>
  <si>
    <t>Order_Date</t>
  </si>
  <si>
    <t>Product_ID</t>
  </si>
  <si>
    <t>Customer_ID</t>
  </si>
  <si>
    <t>Quantity</t>
  </si>
  <si>
    <t>Product_Name</t>
  </si>
  <si>
    <t>Category</t>
  </si>
  <si>
    <t>Price</t>
  </si>
  <si>
    <t>Customer_Name</t>
  </si>
  <si>
    <t>City</t>
  </si>
  <si>
    <t>Membership</t>
  </si>
  <si>
    <t>O1001</t>
  </si>
  <si>
    <t>P101</t>
  </si>
  <si>
    <t>C001</t>
  </si>
  <si>
    <t>Wireless Mouse</t>
  </si>
  <si>
    <t>Electronics</t>
  </si>
  <si>
    <t>Rahul</t>
  </si>
  <si>
    <t>Pune</t>
  </si>
  <si>
    <t>Gold</t>
  </si>
  <si>
    <t>O1002</t>
  </si>
  <si>
    <t>P102</t>
  </si>
  <si>
    <t>C002</t>
  </si>
  <si>
    <t>Laptop Bag</t>
  </si>
  <si>
    <t>Accessories</t>
  </si>
  <si>
    <t>Anjali</t>
  </si>
  <si>
    <t>Mumbai</t>
  </si>
  <si>
    <t>Silver</t>
  </si>
  <si>
    <t>O1003</t>
  </si>
  <si>
    <t>P103</t>
  </si>
  <si>
    <t>C003</t>
  </si>
  <si>
    <t>Keyboard</t>
  </si>
  <si>
    <t>Neha</t>
  </si>
  <si>
    <t>Bangalore</t>
  </si>
  <si>
    <t>O1004</t>
  </si>
  <si>
    <r>
      <rPr>
        <sz val="11"/>
        <color rgb="FF000000"/>
        <rFont val="Calibri"/>
        <scheme val="minor"/>
      </rPr>
      <t xml:space="preserve">Fetch </t>
    </r>
    <r>
      <rPr>
        <b/>
        <sz val="11"/>
        <color rgb="FF000000"/>
        <rFont val="Calibri"/>
        <scheme val="minor"/>
      </rPr>
      <t>Product Name</t>
    </r>
    <r>
      <rPr>
        <sz val="11"/>
        <color rgb="FF000000"/>
        <rFont val="Calibri"/>
        <scheme val="minor"/>
      </rPr>
      <t xml:space="preserve"> in Orders sheet</t>
    </r>
  </si>
  <si>
    <t>Product_name</t>
  </si>
  <si>
    <r>
      <t xml:space="preserve">Fetch </t>
    </r>
    <r>
      <rPr>
        <b/>
        <sz val="11"/>
        <color theme="1"/>
        <rFont val="Calibri"/>
        <family val="2"/>
        <scheme val="minor"/>
      </rPr>
      <t>Product Price</t>
    </r>
    <r>
      <rPr>
        <sz val="11"/>
        <color theme="1"/>
        <rFont val="Calibri"/>
        <family val="2"/>
        <scheme val="minor"/>
      </rPr>
      <t xml:space="preserve"> in Orders sheet</t>
    </r>
  </si>
  <si>
    <t>Calculate Total Order Value</t>
  </si>
  <si>
    <t>Total_order_value</t>
  </si>
  <si>
    <t>Fetch cutomer city</t>
  </si>
  <si>
    <t>Customer city</t>
  </si>
  <si>
    <t>Fetch Membership Type</t>
  </si>
  <si>
    <t>Membership_type</t>
  </si>
  <si>
    <t>Write INDEX-MATCH to find product price using Product_ID</t>
  </si>
  <si>
    <t>Find Product_ID using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</si>
</sst>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3.5"/>
      <color rgb="FF000000"/>
      <name val="Calibri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3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5" fillId="5" borderId="0" xfId="0" applyFont="1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6" fillId="0" borderId="0" xfId="0" applyFont="1"/>
    <xf numFmtId="0" fontId="0" fillId="8" borderId="0" xfId="0" applyFill="1"/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7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indexed="64"/>
          <bgColor theme="7" tint="0.79998168889431442"/>
        </patternFill>
      </fill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02D30-59DD-466C-AE59-D6A022221000}" name="Table1" displayName="Table1" ref="A10:F14" totalsRowShown="0" headerRowDxfId="2">
  <autoFilter ref="A10:F14" xr:uid="{BC902D30-59DD-466C-AE59-D6A022221000}"/>
  <tableColumns count="6">
    <tableColumn id="1" xr3:uid="{C1F1040A-BFA8-4ABD-A43C-ECFB5C24F8D4}" name="Order_ID"/>
    <tableColumn id="2" xr3:uid="{B1C2A069-B740-456E-9D77-4029A0F9508C}" name="Order_Date" dataDxfId="1"/>
    <tableColumn id="3" xr3:uid="{7342C7D4-B3E6-48F8-9004-DD75013A6430}" name="Product_ID"/>
    <tableColumn id="4" xr3:uid="{186BFCDF-3298-4B54-9625-2C4C12493641}" name="Customer_ID"/>
    <tableColumn id="5" xr3:uid="{730C10D5-D663-4324-A0BD-7E8AD73F0E66}" name="Quantity"/>
    <tableColumn id="6" xr3:uid="{62024CEF-E150-43A0-8494-7150AEE7AC66}" name="Product_name" dataDxfId="0">
      <calculatedColumnFormula>VLOOKUP(C3,$H$2:$K$5,2,0)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workbookViewId="0">
      <selection activeCell="I10" sqref="I10"/>
    </sheetView>
  </sheetViews>
  <sheetFormatPr defaultRowHeight="15"/>
  <cols>
    <col min="1" max="1" width="14.7109375" bestFit="1" customWidth="1"/>
    <col min="2" max="2" width="13.5703125" bestFit="1" customWidth="1"/>
    <col min="3" max="3" width="13.140625" bestFit="1" customWidth="1"/>
    <col min="4" max="4" width="14.7109375" bestFit="1" customWidth="1"/>
    <col min="5" max="5" width="11" bestFit="1" customWidth="1"/>
    <col min="6" max="6" width="36.5703125" bestFit="1" customWidth="1"/>
    <col min="8" max="8" width="10.85546875" bestFit="1" customWidth="1"/>
    <col min="9" max="9" width="14.7109375" bestFit="1" customWidth="1"/>
    <col min="10" max="10" width="11.140625" bestFit="1" customWidth="1"/>
    <col min="14" max="14" width="12.42578125" bestFit="1" customWidth="1"/>
    <col min="15" max="15" width="15.85546875" bestFit="1" customWidth="1"/>
    <col min="16" max="16" width="9.7109375" bestFit="1" customWidth="1"/>
    <col min="17" max="17" width="12.28515625" bestFit="1" customWidth="1"/>
  </cols>
  <sheetData>
    <row r="1" spans="1:17" ht="18.75">
      <c r="A1" s="19" t="s">
        <v>0</v>
      </c>
      <c r="B1" s="19"/>
      <c r="C1" s="19"/>
      <c r="D1" s="19"/>
      <c r="E1" s="19"/>
      <c r="H1" s="19" t="s">
        <v>1</v>
      </c>
      <c r="I1" s="19"/>
      <c r="J1" s="19"/>
      <c r="K1" s="19"/>
      <c r="N1" s="19" t="s">
        <v>2</v>
      </c>
      <c r="O1" s="19"/>
      <c r="P1" s="19"/>
      <c r="Q1" s="19"/>
    </row>
    <row r="2" spans="1:1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H2" s="1" t="s">
        <v>5</v>
      </c>
      <c r="I2" s="1" t="s">
        <v>8</v>
      </c>
      <c r="J2" s="1" t="s">
        <v>9</v>
      </c>
      <c r="K2" s="1" t="s">
        <v>10</v>
      </c>
      <c r="N2" s="1" t="s">
        <v>6</v>
      </c>
      <c r="O2" s="1" t="s">
        <v>11</v>
      </c>
      <c r="P2" s="1" t="s">
        <v>12</v>
      </c>
      <c r="Q2" s="1" t="s">
        <v>13</v>
      </c>
    </row>
    <row r="3" spans="1:17">
      <c r="A3" t="s">
        <v>14</v>
      </c>
      <c r="B3" s="2">
        <v>45292</v>
      </c>
      <c r="C3" t="s">
        <v>15</v>
      </c>
      <c r="D3" t="s">
        <v>16</v>
      </c>
      <c r="E3">
        <v>2</v>
      </c>
      <c r="H3" t="s">
        <v>15</v>
      </c>
      <c r="I3" t="s">
        <v>17</v>
      </c>
      <c r="J3" t="s">
        <v>18</v>
      </c>
      <c r="K3">
        <v>799</v>
      </c>
      <c r="N3" t="s">
        <v>16</v>
      </c>
      <c r="O3" t="s">
        <v>19</v>
      </c>
      <c r="P3" t="s">
        <v>20</v>
      </c>
      <c r="Q3" t="s">
        <v>21</v>
      </c>
    </row>
    <row r="4" spans="1:17">
      <c r="A4" t="s">
        <v>22</v>
      </c>
      <c r="B4" s="2">
        <v>45323</v>
      </c>
      <c r="C4" t="s">
        <v>23</v>
      </c>
      <c r="D4" t="s">
        <v>24</v>
      </c>
      <c r="E4">
        <v>1</v>
      </c>
      <c r="H4" t="s">
        <v>23</v>
      </c>
      <c r="I4" t="s">
        <v>25</v>
      </c>
      <c r="J4" t="s">
        <v>26</v>
      </c>
      <c r="K4">
        <v>1499</v>
      </c>
      <c r="N4" t="s">
        <v>24</v>
      </c>
      <c r="O4" t="s">
        <v>27</v>
      </c>
      <c r="P4" t="s">
        <v>28</v>
      </c>
      <c r="Q4" t="s">
        <v>29</v>
      </c>
    </row>
    <row r="5" spans="1:17">
      <c r="A5" t="s">
        <v>30</v>
      </c>
      <c r="B5" s="2">
        <v>45352</v>
      </c>
      <c r="C5" t="s">
        <v>31</v>
      </c>
      <c r="D5" t="s">
        <v>32</v>
      </c>
      <c r="E5">
        <v>3</v>
      </c>
      <c r="H5" t="s">
        <v>31</v>
      </c>
      <c r="I5" t="s">
        <v>33</v>
      </c>
      <c r="J5" t="s">
        <v>18</v>
      </c>
      <c r="K5">
        <v>999</v>
      </c>
      <c r="N5" t="s">
        <v>32</v>
      </c>
      <c r="O5" t="s">
        <v>34</v>
      </c>
      <c r="P5" t="s">
        <v>35</v>
      </c>
      <c r="Q5" t="s">
        <v>21</v>
      </c>
    </row>
    <row r="6" spans="1:17">
      <c r="A6" t="s">
        <v>36</v>
      </c>
      <c r="B6" s="2">
        <v>45383</v>
      </c>
      <c r="C6" t="s">
        <v>15</v>
      </c>
      <c r="D6" t="s">
        <v>24</v>
      </c>
      <c r="E6">
        <v>1</v>
      </c>
    </row>
    <row r="9" spans="1:17" ht="66" customHeight="1">
      <c r="A9" s="5" t="s">
        <v>37</v>
      </c>
    </row>
    <row r="10" spans="1:17">
      <c r="A10" s="1" t="s">
        <v>3</v>
      </c>
      <c r="B10" s="1" t="s">
        <v>4</v>
      </c>
      <c r="C10" s="1" t="s">
        <v>5</v>
      </c>
      <c r="D10" s="1" t="s">
        <v>6</v>
      </c>
      <c r="E10" s="1" t="s">
        <v>7</v>
      </c>
      <c r="F10" s="4" t="s">
        <v>38</v>
      </c>
    </row>
    <row r="11" spans="1:17">
      <c r="A11" t="s">
        <v>14</v>
      </c>
      <c r="B11" s="2">
        <v>45292</v>
      </c>
      <c r="C11" t="s">
        <v>15</v>
      </c>
      <c r="D11" t="s">
        <v>16</v>
      </c>
      <c r="E11">
        <v>2</v>
      </c>
      <c r="F11" s="4" t="str">
        <f>VLOOKUP(C3,$H$2:$K$5,2,0)</f>
        <v>Wireless Mouse</v>
      </c>
    </row>
    <row r="12" spans="1:17">
      <c r="A12" t="s">
        <v>22</v>
      </c>
      <c r="B12" s="2">
        <v>45323</v>
      </c>
      <c r="C12" t="s">
        <v>23</v>
      </c>
      <c r="D12" t="s">
        <v>24</v>
      </c>
      <c r="E12">
        <v>1</v>
      </c>
      <c r="F12" s="4" t="str">
        <f t="shared" ref="F12:F14" si="0">VLOOKUP(C4,$H$2:$K$5,2,0)</f>
        <v>Laptop Bag</v>
      </c>
    </row>
    <row r="13" spans="1:17">
      <c r="A13" t="s">
        <v>30</v>
      </c>
      <c r="B13" s="2">
        <v>45352</v>
      </c>
      <c r="C13" t="s">
        <v>31</v>
      </c>
      <c r="D13" t="s">
        <v>32</v>
      </c>
      <c r="E13">
        <v>3</v>
      </c>
      <c r="F13" s="4" t="str">
        <f t="shared" si="0"/>
        <v>Keyboard</v>
      </c>
    </row>
    <row r="14" spans="1:17">
      <c r="A14" t="s">
        <v>36</v>
      </c>
      <c r="B14" s="2">
        <v>45383</v>
      </c>
      <c r="C14" t="s">
        <v>15</v>
      </c>
      <c r="D14" t="s">
        <v>24</v>
      </c>
      <c r="E14">
        <v>1</v>
      </c>
      <c r="F14" s="4" t="str">
        <f t="shared" si="0"/>
        <v>Wireless Mouse</v>
      </c>
    </row>
    <row r="17" spans="1:6" ht="60.75">
      <c r="A17" s="6" t="s">
        <v>39</v>
      </c>
    </row>
    <row r="18" spans="1:6">
      <c r="A18" s="1" t="s">
        <v>3</v>
      </c>
      <c r="B18" s="1" t="s">
        <v>4</v>
      </c>
      <c r="C18" s="1" t="s">
        <v>5</v>
      </c>
      <c r="D18" s="1" t="s">
        <v>6</v>
      </c>
      <c r="E18" s="1" t="s">
        <v>7</v>
      </c>
      <c r="F18" s="7" t="s">
        <v>10</v>
      </c>
    </row>
    <row r="19" spans="1:6">
      <c r="A19" t="s">
        <v>14</v>
      </c>
      <c r="B19" s="2">
        <v>45292</v>
      </c>
      <c r="C19" t="s">
        <v>15</v>
      </c>
      <c r="D19" t="s">
        <v>16</v>
      </c>
      <c r="E19">
        <v>2</v>
      </c>
      <c r="F19" s="7">
        <f>VLOOKUP(C19,$H$2:$K$5,4,0)</f>
        <v>799</v>
      </c>
    </row>
    <row r="20" spans="1:6">
      <c r="A20" t="s">
        <v>22</v>
      </c>
      <c r="B20" s="2">
        <v>45323</v>
      </c>
      <c r="C20" t="s">
        <v>23</v>
      </c>
      <c r="D20" t="s">
        <v>24</v>
      </c>
      <c r="E20">
        <v>1</v>
      </c>
      <c r="F20" s="7">
        <f t="shared" ref="F20:F22" si="1">VLOOKUP(C20,$H$2:$K$5,4,0)</f>
        <v>1499</v>
      </c>
    </row>
    <row r="21" spans="1:6">
      <c r="A21" t="s">
        <v>30</v>
      </c>
      <c r="B21" s="2">
        <v>45352</v>
      </c>
      <c r="C21" t="s">
        <v>31</v>
      </c>
      <c r="D21" t="s">
        <v>32</v>
      </c>
      <c r="E21">
        <v>3</v>
      </c>
      <c r="F21" s="7">
        <f t="shared" si="1"/>
        <v>999</v>
      </c>
    </row>
    <row r="22" spans="1:6">
      <c r="A22" t="s">
        <v>36</v>
      </c>
      <c r="B22" s="2">
        <v>45383</v>
      </c>
      <c r="C22" t="s">
        <v>15</v>
      </c>
      <c r="D22" t="s">
        <v>24</v>
      </c>
      <c r="E22">
        <v>1</v>
      </c>
      <c r="F22" s="7">
        <f t="shared" si="1"/>
        <v>799</v>
      </c>
    </row>
    <row r="25" spans="1:6" ht="72">
      <c r="A25" s="8" t="s">
        <v>40</v>
      </c>
    </row>
    <row r="26" spans="1:6">
      <c r="A26" s="1" t="s">
        <v>3</v>
      </c>
      <c r="B26" s="1" t="s">
        <v>4</v>
      </c>
      <c r="C26" s="1" t="s">
        <v>5</v>
      </c>
      <c r="D26" s="1" t="s">
        <v>6</v>
      </c>
      <c r="E26" s="1" t="s">
        <v>7</v>
      </c>
      <c r="F26" s="9" t="s">
        <v>41</v>
      </c>
    </row>
    <row r="27" spans="1:6">
      <c r="A27" t="s">
        <v>14</v>
      </c>
      <c r="B27" s="2">
        <v>45292</v>
      </c>
      <c r="C27" t="s">
        <v>15</v>
      </c>
      <c r="D27" t="s">
        <v>16</v>
      </c>
      <c r="E27">
        <v>2</v>
      </c>
      <c r="F27" s="9">
        <f>E27*(VLOOKUP(C27,$H$2:$K$5,4,FALSE))</f>
        <v>1598</v>
      </c>
    </row>
    <row r="28" spans="1:6">
      <c r="A28" t="s">
        <v>22</v>
      </c>
      <c r="B28" s="2">
        <v>45323</v>
      </c>
      <c r="C28" t="s">
        <v>23</v>
      </c>
      <c r="D28" t="s">
        <v>24</v>
      </c>
      <c r="E28">
        <v>1</v>
      </c>
      <c r="F28" s="9">
        <f t="shared" ref="F28:F30" si="2">E28*(VLOOKUP(C28,$H$2:$K$5,4,FALSE))</f>
        <v>1499</v>
      </c>
    </row>
    <row r="29" spans="1:6">
      <c r="A29" t="s">
        <v>30</v>
      </c>
      <c r="B29" s="2">
        <v>45352</v>
      </c>
      <c r="C29" t="s">
        <v>31</v>
      </c>
      <c r="D29" t="s">
        <v>32</v>
      </c>
      <c r="E29">
        <v>3</v>
      </c>
      <c r="F29" s="9">
        <f t="shared" si="2"/>
        <v>2997</v>
      </c>
    </row>
    <row r="30" spans="1:6">
      <c r="A30" t="s">
        <v>36</v>
      </c>
      <c r="B30" s="2">
        <v>45383</v>
      </c>
      <c r="C30" t="s">
        <v>15</v>
      </c>
      <c r="D30" t="s">
        <v>24</v>
      </c>
      <c r="E30">
        <v>1</v>
      </c>
      <c r="F30" s="9">
        <f t="shared" si="2"/>
        <v>799</v>
      </c>
    </row>
    <row r="33" spans="1:7" ht="30.75">
      <c r="A33" s="10" t="s">
        <v>42</v>
      </c>
      <c r="B33" s="3"/>
    </row>
    <row r="34" spans="1:7">
      <c r="A34" s="1" t="s">
        <v>3</v>
      </c>
      <c r="B34" s="1" t="s">
        <v>4</v>
      </c>
      <c r="C34" s="1" t="s">
        <v>5</v>
      </c>
      <c r="D34" s="1" t="s">
        <v>6</v>
      </c>
      <c r="E34" s="1" t="s">
        <v>7</v>
      </c>
      <c r="F34" s="11" t="s">
        <v>43</v>
      </c>
    </row>
    <row r="35" spans="1:7">
      <c r="A35" t="s">
        <v>14</v>
      </c>
      <c r="B35" s="2">
        <v>45292</v>
      </c>
      <c r="C35" t="s">
        <v>15</v>
      </c>
      <c r="D35" t="s">
        <v>16</v>
      </c>
      <c r="E35">
        <v>2</v>
      </c>
      <c r="F35" s="11" t="str">
        <f>VLOOKUP(D35,$N$2:$Q$5,3,FALSE)</f>
        <v>Pune</v>
      </c>
      <c r="G35" s="14"/>
    </row>
    <row r="36" spans="1:7">
      <c r="A36" t="s">
        <v>22</v>
      </c>
      <c r="B36" s="2">
        <v>45323</v>
      </c>
      <c r="C36" t="s">
        <v>23</v>
      </c>
      <c r="D36" t="s">
        <v>24</v>
      </c>
      <c r="E36">
        <v>1</v>
      </c>
      <c r="F36" s="11" t="str">
        <f t="shared" ref="F36:F38" si="3">VLOOKUP(D36,$N$2:$Q$5,3,FALSE)</f>
        <v>Mumbai</v>
      </c>
    </row>
    <row r="37" spans="1:7">
      <c r="A37" t="s">
        <v>30</v>
      </c>
      <c r="B37" s="2">
        <v>45352</v>
      </c>
      <c r="C37" t="s">
        <v>31</v>
      </c>
      <c r="D37" t="s">
        <v>32</v>
      </c>
      <c r="E37">
        <v>3</v>
      </c>
      <c r="F37" s="11" t="str">
        <f t="shared" si="3"/>
        <v>Bangalore</v>
      </c>
    </row>
    <row r="38" spans="1:7">
      <c r="A38" t="s">
        <v>36</v>
      </c>
      <c r="B38" s="2">
        <v>45383</v>
      </c>
      <c r="C38" t="s">
        <v>15</v>
      </c>
      <c r="D38" t="s">
        <v>24</v>
      </c>
      <c r="E38">
        <v>1</v>
      </c>
      <c r="F38" s="11" t="str">
        <f t="shared" si="3"/>
        <v>Mumbai</v>
      </c>
    </row>
    <row r="41" spans="1:7" ht="45.75">
      <c r="A41" s="12" t="s">
        <v>44</v>
      </c>
    </row>
    <row r="42" spans="1:7">
      <c r="A42" s="1" t="s">
        <v>3</v>
      </c>
      <c r="B42" s="1" t="s">
        <v>4</v>
      </c>
      <c r="C42" s="1" t="s">
        <v>5</v>
      </c>
      <c r="D42" s="1" t="s">
        <v>6</v>
      </c>
      <c r="E42" s="1" t="s">
        <v>7</v>
      </c>
      <c r="F42" s="13" t="s">
        <v>45</v>
      </c>
    </row>
    <row r="43" spans="1:7">
      <c r="A43" t="s">
        <v>14</v>
      </c>
      <c r="B43" s="2">
        <v>45292</v>
      </c>
      <c r="C43" t="s">
        <v>15</v>
      </c>
      <c r="D43" t="s">
        <v>16</v>
      </c>
      <c r="E43">
        <v>2</v>
      </c>
      <c r="F43" s="13" t="str">
        <f>VLOOKUP(D43,$N$2:$Q$5,4,0)</f>
        <v>Gold</v>
      </c>
    </row>
    <row r="44" spans="1:7">
      <c r="A44" t="s">
        <v>22</v>
      </c>
      <c r="B44" s="2">
        <v>45323</v>
      </c>
      <c r="C44" t="s">
        <v>23</v>
      </c>
      <c r="D44" t="s">
        <v>24</v>
      </c>
      <c r="E44">
        <v>1</v>
      </c>
      <c r="F44" s="13" t="str">
        <f t="shared" ref="F44:F46" si="4">VLOOKUP(D44,$N$2:$Q$5,4,0)</f>
        <v>Silver</v>
      </c>
    </row>
    <row r="45" spans="1:7">
      <c r="A45" t="s">
        <v>30</v>
      </c>
      <c r="B45" s="2">
        <v>45352</v>
      </c>
      <c r="C45" t="s">
        <v>31</v>
      </c>
      <c r="D45" t="s">
        <v>32</v>
      </c>
      <c r="E45">
        <v>3</v>
      </c>
      <c r="F45" s="13" t="str">
        <f t="shared" si="4"/>
        <v>Gold</v>
      </c>
    </row>
    <row r="46" spans="1:7">
      <c r="A46" t="s">
        <v>36</v>
      </c>
      <c r="B46" s="2">
        <v>45383</v>
      </c>
      <c r="C46" t="s">
        <v>15</v>
      </c>
      <c r="D46" t="s">
        <v>24</v>
      </c>
      <c r="E46">
        <v>1</v>
      </c>
      <c r="F46" s="13" t="str">
        <f t="shared" si="4"/>
        <v>Silver</v>
      </c>
    </row>
    <row r="49" spans="1:6" ht="91.5">
      <c r="A49" s="16" t="s">
        <v>46</v>
      </c>
    </row>
    <row r="50" spans="1:6">
      <c r="A50" s="1" t="s">
        <v>3</v>
      </c>
      <c r="B50" s="1" t="s">
        <v>4</v>
      </c>
      <c r="C50" s="1" t="s">
        <v>5</v>
      </c>
      <c r="D50" s="1" t="s">
        <v>6</v>
      </c>
      <c r="E50" s="1" t="s">
        <v>7</v>
      </c>
      <c r="F50" s="15" t="s">
        <v>10</v>
      </c>
    </row>
    <row r="51" spans="1:6">
      <c r="A51" t="s">
        <v>14</v>
      </c>
      <c r="B51" s="2">
        <v>45292</v>
      </c>
      <c r="C51" t="s">
        <v>15</v>
      </c>
      <c r="D51" t="s">
        <v>16</v>
      </c>
      <c r="E51">
        <v>2</v>
      </c>
      <c r="F51" s="16">
        <f>INDEX($K$2:$K$5,MATCH(C51,$C$50:$C$54,0))</f>
        <v>799</v>
      </c>
    </row>
    <row r="52" spans="1:6">
      <c r="A52" t="s">
        <v>22</v>
      </c>
      <c r="B52" s="2">
        <v>45323</v>
      </c>
      <c r="C52" t="s">
        <v>23</v>
      </c>
      <c r="D52" t="s">
        <v>24</v>
      </c>
      <c r="E52">
        <v>1</v>
      </c>
      <c r="F52" s="16">
        <f t="shared" ref="F52:F54" si="5">INDEX($K$2:$K$5,MATCH(C52,$C$50:$C$54,0))</f>
        <v>1499</v>
      </c>
    </row>
    <row r="53" spans="1:6">
      <c r="A53" t="s">
        <v>30</v>
      </c>
      <c r="B53" s="2">
        <v>45352</v>
      </c>
      <c r="C53" t="s">
        <v>31</v>
      </c>
      <c r="D53" t="s">
        <v>32</v>
      </c>
      <c r="E53">
        <v>3</v>
      </c>
      <c r="F53" s="16">
        <f t="shared" si="5"/>
        <v>999</v>
      </c>
    </row>
    <row r="54" spans="1:6">
      <c r="A54" t="s">
        <v>36</v>
      </c>
      <c r="B54" s="2">
        <v>45383</v>
      </c>
      <c r="C54" t="s">
        <v>15</v>
      </c>
      <c r="D54" t="s">
        <v>24</v>
      </c>
      <c r="E54">
        <v>1</v>
      </c>
      <c r="F54" s="16">
        <f t="shared" si="5"/>
        <v>799</v>
      </c>
    </row>
    <row r="55" spans="1:6" ht="22.5" customHeight="1"/>
    <row r="56" spans="1:6" ht="20.25" customHeight="1"/>
    <row r="57" spans="1:6" ht="84.75" customHeight="1">
      <c r="A57" s="17" t="s">
        <v>47</v>
      </c>
    </row>
    <row r="59" spans="1:6">
      <c r="A59" s="1" t="s">
        <v>8</v>
      </c>
      <c r="B59" s="18" t="s">
        <v>5</v>
      </c>
    </row>
    <row r="60" spans="1:6">
      <c r="A60" t="s">
        <v>17</v>
      </c>
      <c r="B60" t="str">
        <f>INDEX(H2:H5,MATCH(I3,I2:I5,0))</f>
        <v>P101</v>
      </c>
    </row>
    <row r="61" spans="1:6">
      <c r="A61" t="s">
        <v>25</v>
      </c>
      <c r="B61" t="str">
        <f t="shared" ref="B61:B62" si="6">INDEX(H3:H6,MATCH(I4,I3:I6,0))</f>
        <v>P102</v>
      </c>
    </row>
    <row r="62" spans="1:6">
      <c r="A62" t="s">
        <v>33</v>
      </c>
      <c r="B62" t="str">
        <f t="shared" si="6"/>
        <v>P103</v>
      </c>
    </row>
  </sheetData>
  <sortState xmlns:xlrd2="http://schemas.microsoft.com/office/spreadsheetml/2017/richdata2" ref="A3:E6">
    <sortCondition ref="A3:A6"/>
  </sortState>
  <mergeCells count="3">
    <mergeCell ref="A1:E1"/>
    <mergeCell ref="H1:K1"/>
    <mergeCell ref="N1:Q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2025-12-31T04:42:40Z</dcterms:created>
  <dcterms:modified xsi:type="dcterms:W3CDTF">2026-01-02T05:40:05Z</dcterms:modified>
  <cp:category/>
  <cp:contentStatus/>
</cp:coreProperties>
</file>