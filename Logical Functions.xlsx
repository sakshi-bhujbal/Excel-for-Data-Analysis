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xr:revisionPtr revIDLastSave="0" documentId="8_{E033804E-EF5B-4AA6-BD58-2A0E0F285FF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T3" i="1"/>
  <c r="T4" i="1"/>
  <c r="T5" i="1"/>
  <c r="T6" i="1"/>
  <c r="T7" i="1"/>
  <c r="T8" i="1"/>
  <c r="T9" i="1"/>
  <c r="T10" i="1"/>
  <c r="T11" i="1"/>
  <c r="T2" i="1"/>
  <c r="S10" i="1" a="1"/>
  <c r="S10" i="1"/>
  <c r="S7" i="1" a="1"/>
  <c r="S7" i="1"/>
  <c r="S5" i="1" a="1"/>
  <c r="S5" i="1"/>
  <c r="S3" i="1" a="1"/>
  <c r="S3" i="1"/>
  <c r="S4" i="1" a="1"/>
  <c r="S4" i="1"/>
  <c r="S6" i="1" a="1"/>
  <c r="S6" i="1"/>
  <c r="S8" i="1" a="1"/>
  <c r="S8" i="1"/>
  <c r="S9" i="1" a="1"/>
  <c r="S9" i="1"/>
  <c r="S11" i="1" a="1"/>
  <c r="S11" i="1"/>
  <c r="S2" i="1" a="1"/>
  <c r="S2" i="1"/>
  <c r="R5" i="1"/>
  <c r="R3" i="1"/>
  <c r="R4" i="1"/>
  <c r="R6" i="1"/>
  <c r="R7" i="1"/>
  <c r="R8" i="1"/>
  <c r="R9" i="1"/>
  <c r="R10" i="1"/>
  <c r="R11" i="1"/>
  <c r="R2" i="1"/>
  <c r="Q2" i="1"/>
  <c r="Q3" i="1"/>
  <c r="Q4" i="1"/>
  <c r="Q5" i="1"/>
  <c r="Q6" i="1"/>
  <c r="Q7" i="1"/>
  <c r="Q8" i="1"/>
  <c r="Q9" i="1"/>
  <c r="Q10" i="1"/>
  <c r="Q11" i="1"/>
  <c r="P3" i="1"/>
  <c r="P4" i="1"/>
  <c r="P5" i="1"/>
  <c r="P6" i="1"/>
  <c r="P7" i="1"/>
  <c r="P8" i="1"/>
  <c r="P9" i="1"/>
  <c r="P10" i="1"/>
  <c r="P11" i="1"/>
  <c r="P2" i="1"/>
  <c r="O2" i="1"/>
  <c r="O3" i="1"/>
  <c r="O4" i="1"/>
  <c r="O5" i="1"/>
  <c r="O6" i="1"/>
  <c r="O7" i="1"/>
  <c r="O8" i="1"/>
  <c r="O9" i="1"/>
  <c r="O10" i="1"/>
  <c r="O11" i="1"/>
  <c r="N3" i="1"/>
  <c r="N4" i="1"/>
  <c r="N5" i="1"/>
  <c r="N6" i="1"/>
  <c r="N7" i="1"/>
  <c r="N8" i="1"/>
  <c r="N9" i="1"/>
  <c r="N10" i="1"/>
  <c r="N11" i="1"/>
  <c r="N2" i="1"/>
  <c r="M3" i="1" a="1"/>
  <c r="M3" i="1"/>
  <c r="M4" i="1" a="1"/>
  <c r="M4" i="1"/>
  <c r="M5" i="1" a="1"/>
  <c r="M5" i="1"/>
  <c r="M6" i="1" a="1"/>
  <c r="M6" i="1"/>
  <c r="M7" i="1" a="1"/>
  <c r="M7" i="1"/>
  <c r="M8" i="1" a="1"/>
  <c r="M8" i="1"/>
  <c r="M9" i="1" a="1"/>
  <c r="M9" i="1"/>
  <c r="M10" i="1" a="1"/>
  <c r="M10" i="1"/>
  <c r="M11" i="1" a="1"/>
  <c r="M11" i="1"/>
  <c r="M2" i="1" a="1"/>
  <c r="M2" i="1"/>
  <c r="L3" i="1"/>
  <c r="L4" i="1"/>
  <c r="L5" i="1"/>
  <c r="L6" i="1"/>
  <c r="L7" i="1"/>
  <c r="L8" i="1"/>
  <c r="L9" i="1"/>
  <c r="L10" i="1"/>
  <c r="L11" i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<sst xmlns="http://schemas.openxmlformats.org/spreadsheetml/2006/main" count="71" uniqueCount="46">
  <si>
    <t>OrderID</t>
  </si>
  <si>
    <t>Customer Name</t>
  </si>
  <si>
    <t>Region</t>
  </si>
  <si>
    <t>Product Category</t>
  </si>
  <si>
    <t>Quantity</t>
  </si>
  <si>
    <t>Unit Price</t>
  </si>
  <si>
    <t>Order Value</t>
  </si>
  <si>
    <t>Payment Mode</t>
  </si>
  <si>
    <t>Order Date</t>
  </si>
  <si>
    <t>Delivery Date</t>
  </si>
  <si>
    <t>Status</t>
  </si>
  <si>
    <t>High value or low value</t>
  </si>
  <si>
    <t>Discount</t>
  </si>
  <si>
    <t>ON time /delayed time</t>
  </si>
  <si>
    <t>Payment mode</t>
  </si>
  <si>
    <t>Same day delivery</t>
  </si>
  <si>
    <t xml:space="preserve">Delivery speed </t>
  </si>
  <si>
    <t>Flag orders with issue</t>
  </si>
  <si>
    <t>Priority for customer support</t>
  </si>
  <si>
    <t>Loyalty points based on order values</t>
  </si>
  <si>
    <t>Detect High risk COD order</t>
  </si>
  <si>
    <t>Asha</t>
  </si>
  <si>
    <t>North</t>
  </si>
  <si>
    <t>Electronics</t>
  </si>
  <si>
    <t>UPI</t>
  </si>
  <si>
    <t>Delivered</t>
  </si>
  <si>
    <t>Rohan</t>
  </si>
  <si>
    <t>South</t>
  </si>
  <si>
    <t>Fashion</t>
  </si>
  <si>
    <t>Cash</t>
  </si>
  <si>
    <t>Priya</t>
  </si>
  <si>
    <t>West</t>
  </si>
  <si>
    <t>Groceries</t>
  </si>
  <si>
    <t>Card</t>
  </si>
  <si>
    <t>Aarav</t>
  </si>
  <si>
    <t>Cancelled</t>
  </si>
  <si>
    <t>Meera</t>
  </si>
  <si>
    <t>East</t>
  </si>
  <si>
    <t>Beauty</t>
  </si>
  <si>
    <t>Harsh</t>
  </si>
  <si>
    <t>Home Decor</t>
  </si>
  <si>
    <t>Pending</t>
  </si>
  <si>
    <t>Sneha</t>
  </si>
  <si>
    <t>Karan</t>
  </si>
  <si>
    <t>Reema</t>
  </si>
  <si>
    <t>Advait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</si>
</sst>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topLeftCell="O1" workbookViewId="0">
      <selection activeCell="U4" sqref="U4"/>
    </sheetView>
  </sheetViews>
  <sheetFormatPr defaultRowHeight="15"/>
  <cols>
    <col min="2" max="2" width="15.28515625" bestFit="1" customWidth="1"/>
    <col min="4" max="4" width="16.140625" bestFit="1" customWidth="1"/>
    <col min="6" max="6" width="9.42578125" bestFit="1" customWidth="1"/>
    <col min="7" max="7" width="11.28515625" bestFit="1" customWidth="1"/>
    <col min="8" max="8" width="14" bestFit="1" customWidth="1"/>
    <col min="9" max="9" width="10.5703125" bestFit="1" customWidth="1"/>
    <col min="10" max="10" width="12.7109375" bestFit="1" customWidth="1"/>
    <col min="11" max="11" width="9.5703125" bestFit="1" customWidth="1"/>
    <col min="12" max="12" width="20.28515625" bestFit="1" customWidth="1"/>
    <col min="13" max="13" width="8.5703125" bestFit="1" customWidth="1"/>
    <col min="14" max="14" width="20" bestFit="1" customWidth="1"/>
    <col min="15" max="15" width="13.7109375" bestFit="1" customWidth="1"/>
    <col min="16" max="16" width="16.140625" bestFit="1" customWidth="1"/>
    <col min="17" max="17" width="13.7109375" bestFit="1" customWidth="1"/>
    <col min="18" max="18" width="36.5703125" bestFit="1" customWidth="1"/>
    <col min="19" max="19" width="30.7109375" bestFit="1" customWidth="1"/>
    <col min="20" max="20" width="31.7109375" bestFit="1" customWidth="1"/>
    <col min="21" max="21" width="36.570312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20.25" customHeight="1">
      <c r="A2">
        <v>1001</v>
      </c>
      <c r="B2" t="s">
        <v>21</v>
      </c>
      <c r="C2" t="s">
        <v>22</v>
      </c>
      <c r="D2" t="s">
        <v>23</v>
      </c>
      <c r="E2">
        <v>2</v>
      </c>
      <c r="F2">
        <v>1200</v>
      </c>
      <c r="G2">
        <v>2400</v>
      </c>
      <c r="H2" t="s">
        <v>24</v>
      </c>
      <c r="I2" s="2">
        <v>45669</v>
      </c>
      <c r="J2" s="2">
        <v>45673</v>
      </c>
      <c r="K2" t="s">
        <v>25</v>
      </c>
      <c r="L2" t="str">
        <f>IF(G2&gt;=3000,"High value","Low value")</f>
        <v>Low value</v>
      </c>
      <c r="M2" s="3" cm="1">
        <f t="array" ref="M2">_xlfn.IFS(D2="Electronics",0.1,D2="Fashion",0.08,D2="Beauty",0.05,TRUE,0.02)</f>
        <v>0.1</v>
      </c>
      <c r="N2" t="str">
        <f>IF(J2&gt;I2+5,"Delayed","On-time")</f>
        <v>On-time</v>
      </c>
      <c r="O2" t="str">
        <f>IF(OR(H2="UPI",H2="Card"),"Online","Offline")</f>
        <v>Online</v>
      </c>
      <c r="P2" t="str">
        <f>IF(AND(J2=I2,K2="Delivered"),"Fast Delivery","Normal")</f>
        <v>Normal</v>
      </c>
      <c r="Q2" t="str">
        <f>IF(J2=I2,"Fast",IF(J2-I2&lt;=3,"Medium","slow"))</f>
        <v>slow</v>
      </c>
      <c r="R2" s="3" t="str">
        <f>IF(OR(K2="Cancelled",AND(K2="Pending",G2&gt;2000)),"Issue","OK")</f>
        <v>OK</v>
      </c>
      <c r="S2" t="str" cm="1">
        <f t="array" ref="S2">_xlfn.IFS(K2="Cancelled","High",AND(K2="Pending",G2&gt;3000),"Medium",TRUE,"Low")</f>
        <v>Low</v>
      </c>
      <c r="T2">
        <f>IF(G2&gt;4000,200,IF(G2&gt;=3000,150,IF(G2&gt;=2000,100,50)))</f>
        <v>100</v>
      </c>
      <c r="U2" s="3" t="str">
        <f>IF(AND(H2="Cash",G2&gt;2000,OR(C2="North","West")),"High Risk","Normal")</f>
        <v>Normal</v>
      </c>
    </row>
    <row r="3" spans="1:21">
      <c r="A3">
        <v>1002</v>
      </c>
      <c r="B3" t="s">
        <v>26</v>
      </c>
      <c r="C3" t="s">
        <v>27</v>
      </c>
      <c r="D3" t="s">
        <v>28</v>
      </c>
      <c r="E3">
        <v>5</v>
      </c>
      <c r="F3">
        <v>450</v>
      </c>
      <c r="G3">
        <v>2250</v>
      </c>
      <c r="H3" t="s">
        <v>29</v>
      </c>
      <c r="I3" s="2">
        <v>45670</v>
      </c>
      <c r="J3" s="2">
        <v>45677</v>
      </c>
      <c r="K3" t="s">
        <v>25</v>
      </c>
      <c r="L3" t="str">
        <f t="shared" ref="L3:L11" si="0">IF(G3&gt;=3000,"High value","Low value")</f>
        <v>Low value</v>
      </c>
      <c r="M3" s="3" cm="1">
        <f t="array" ref="M3">_xlfn.IFS(D3="Electronics",0.1,D3="Fashion",0.08,D3="Beauty",0.05,TRUE,0.02)</f>
        <v>0.08</v>
      </c>
      <c r="N3" t="str">
        <f t="shared" ref="N3:N11" si="1">IF(J3&gt;I3+5,"Delayed","On-time")</f>
        <v>Delayed</v>
      </c>
      <c r="O3" t="str">
        <f t="shared" ref="O3:O11" si="2">IF(OR(H3="UPI",H3="Cash"),"Online","Offline")</f>
        <v>Online</v>
      </c>
      <c r="P3" t="str">
        <f t="shared" ref="P3:P11" si="3">IF(AND(J3=I3,K3="Delivered"),"Fast Delivery","Normal")</f>
        <v>Normal</v>
      </c>
      <c r="Q3" t="str">
        <f t="shared" ref="Q3:Q11" si="4">IF(J3=I3,"Fast",IF(J3-I3&lt;=3,"Medium","slow"))</f>
        <v>slow</v>
      </c>
      <c r="R3" s="3" t="str">
        <f t="shared" ref="R3:R11" si="5">IF(OR(K3="Cancelled",AND(K3="Pending",G3&gt;2000)),"Issue","OK")</f>
        <v>OK</v>
      </c>
      <c r="S3" t="str" cm="1">
        <f t="array" ref="S3">_xlfn.IFS(K3="Cancelled","High",AND(K3="Pending",G3&gt;3000),"Medium",TRUE,"Low")</f>
        <v>Low</v>
      </c>
      <c r="T3">
        <f t="shared" ref="T3:T11" si="6">IF(G3&gt;4000,200,IF(G3&gt;=3000,150,IF(G3&gt;=2000,100,50)))</f>
        <v>100</v>
      </c>
      <c r="U3" s="3" t="str">
        <f t="shared" ref="U3:U11" si="7">IF(AND(H3="Cash",G3&gt;2000,OR(C3="North","West")),"High Risk","Normal")</f>
        <v>Normal</v>
      </c>
    </row>
    <row r="4" spans="1:21">
      <c r="A4">
        <v>1003</v>
      </c>
      <c r="B4" t="s">
        <v>30</v>
      </c>
      <c r="C4" t="s">
        <v>31</v>
      </c>
      <c r="D4" t="s">
        <v>32</v>
      </c>
      <c r="E4">
        <v>10</v>
      </c>
      <c r="F4">
        <v>120</v>
      </c>
      <c r="G4">
        <v>1200</v>
      </c>
      <c r="H4" t="s">
        <v>33</v>
      </c>
      <c r="I4" s="2">
        <v>45671</v>
      </c>
      <c r="J4" s="2">
        <v>45671</v>
      </c>
      <c r="K4" t="s">
        <v>25</v>
      </c>
      <c r="L4" t="str">
        <f t="shared" si="0"/>
        <v>Low value</v>
      </c>
      <c r="M4" s="3" cm="1">
        <f t="array" ref="M4">_xlfn.IFS(D4="Electronics",0.1,D4="Fashion",0.08,D4="Beauty",0.05,TRUE,0.02)</f>
        <v>0.02</v>
      </c>
      <c r="N4" t="str">
        <f t="shared" si="1"/>
        <v>On-time</v>
      </c>
      <c r="O4" t="str">
        <f t="shared" si="2"/>
        <v>Offline</v>
      </c>
      <c r="P4" t="str">
        <f t="shared" si="3"/>
        <v>Fast Delivery</v>
      </c>
      <c r="Q4" t="str">
        <f t="shared" si="4"/>
        <v>Fast</v>
      </c>
      <c r="R4" s="3" t="str">
        <f t="shared" si="5"/>
        <v>OK</v>
      </c>
      <c r="S4" t="str" cm="1">
        <f t="array" ref="S4">_xlfn.IFS(K4="Cancelled","High",AND(K4="Pending",G4&gt;3000),"Medium",TRUE,"Low")</f>
        <v>Low</v>
      </c>
      <c r="T4">
        <f t="shared" si="6"/>
        <v>50</v>
      </c>
      <c r="U4" s="3" t="str">
        <f t="shared" si="7"/>
        <v>Normal</v>
      </c>
    </row>
    <row r="5" spans="1:21">
      <c r="A5">
        <v>1004</v>
      </c>
      <c r="B5" t="s">
        <v>34</v>
      </c>
      <c r="C5" t="s">
        <v>22</v>
      </c>
      <c r="D5" t="s">
        <v>23</v>
      </c>
      <c r="E5">
        <v>1</v>
      </c>
      <c r="F5">
        <v>2500</v>
      </c>
      <c r="G5">
        <v>2500</v>
      </c>
      <c r="H5" t="s">
        <v>33</v>
      </c>
      <c r="I5" s="2">
        <v>45671</v>
      </c>
      <c r="J5" s="2">
        <v>45676</v>
      </c>
      <c r="K5" t="s">
        <v>35</v>
      </c>
      <c r="L5" t="str">
        <f t="shared" si="0"/>
        <v>Low value</v>
      </c>
      <c r="M5" s="3" cm="1">
        <f t="array" ref="M5">_xlfn.IFS(D5="Electronics",0.1,D5="Fashion",0.08,D5="Beauty",0.05,TRUE,0.02)</f>
        <v>0.1</v>
      </c>
      <c r="N5" t="str">
        <f t="shared" si="1"/>
        <v>On-time</v>
      </c>
      <c r="O5" t="str">
        <f t="shared" si="2"/>
        <v>Offline</v>
      </c>
      <c r="P5" t="str">
        <f t="shared" si="3"/>
        <v>Normal</v>
      </c>
      <c r="Q5" t="str">
        <f t="shared" si="4"/>
        <v>slow</v>
      </c>
      <c r="R5" s="3" t="str">
        <f>IF(OR(K5="Cancelled",AND(K5="Pending",G5&gt;2000)),"Issue","OK")</f>
        <v>Issue</v>
      </c>
      <c r="S5" t="str" cm="1">
        <f t="array" ref="S5">_xlfn.IFS(K5="Cancelled","High",AND(K5="Pending",G5&gt;3000),"Medium",TRUE,"Low")</f>
        <v>High</v>
      </c>
      <c r="T5">
        <f t="shared" si="6"/>
        <v>100</v>
      </c>
      <c r="U5" s="3" t="str">
        <f t="shared" si="7"/>
        <v>Normal</v>
      </c>
    </row>
    <row r="6" spans="1:21">
      <c r="A6">
        <v>1005</v>
      </c>
      <c r="B6" t="s">
        <v>36</v>
      </c>
      <c r="C6" t="s">
        <v>37</v>
      </c>
      <c r="D6" t="s">
        <v>38</v>
      </c>
      <c r="E6">
        <v>3</v>
      </c>
      <c r="F6">
        <v>600</v>
      </c>
      <c r="G6">
        <v>1800</v>
      </c>
      <c r="H6" t="s">
        <v>24</v>
      </c>
      <c r="I6" s="2">
        <v>45672</v>
      </c>
      <c r="J6" s="2">
        <v>45674</v>
      </c>
      <c r="K6" t="s">
        <v>25</v>
      </c>
      <c r="L6" t="str">
        <f t="shared" si="0"/>
        <v>Low value</v>
      </c>
      <c r="M6" s="3" cm="1">
        <f t="array" ref="M6">_xlfn.IFS(D6="Electronics",0.1,D6="Fashion",0.08,D6="Beauty",0.05,TRUE,0.02)</f>
        <v>0.05</v>
      </c>
      <c r="N6" t="str">
        <f t="shared" si="1"/>
        <v>On-time</v>
      </c>
      <c r="O6" t="str">
        <f t="shared" si="2"/>
        <v>Online</v>
      </c>
      <c r="P6" t="str">
        <f t="shared" si="3"/>
        <v>Normal</v>
      </c>
      <c r="Q6" t="str">
        <f t="shared" si="4"/>
        <v>Medium</v>
      </c>
      <c r="R6" s="3" t="str">
        <f t="shared" si="5"/>
        <v>OK</v>
      </c>
      <c r="S6" t="str" cm="1">
        <f t="array" ref="S6">_xlfn.IFS(K6="Cancelled","High",AND(K6="Pending",G6&gt;3000),"Medium",TRUE,"Low")</f>
        <v>Low</v>
      </c>
      <c r="T6">
        <f t="shared" si="6"/>
        <v>50</v>
      </c>
      <c r="U6" s="3" t="str">
        <f t="shared" si="7"/>
        <v>Normal</v>
      </c>
    </row>
    <row r="7" spans="1:21">
      <c r="A7">
        <v>1006</v>
      </c>
      <c r="B7" t="s">
        <v>39</v>
      </c>
      <c r="C7" t="s">
        <v>31</v>
      </c>
      <c r="D7" t="s">
        <v>40</v>
      </c>
      <c r="E7">
        <v>4</v>
      </c>
      <c r="F7">
        <v>800</v>
      </c>
      <c r="G7">
        <v>3200</v>
      </c>
      <c r="H7" t="s">
        <v>29</v>
      </c>
      <c r="I7" s="2">
        <v>45673</v>
      </c>
      <c r="J7" s="2">
        <v>45682</v>
      </c>
      <c r="K7" t="s">
        <v>41</v>
      </c>
      <c r="L7" t="str">
        <f t="shared" si="0"/>
        <v>High value</v>
      </c>
      <c r="M7" s="3" cm="1">
        <f t="array" ref="M7">_xlfn.IFS(D7="Electronics",0.1,D7="Fashion",0.08,D7="Beauty",0.05,TRUE,0.02)</f>
        <v>0.02</v>
      </c>
      <c r="N7" t="str">
        <f t="shared" si="1"/>
        <v>Delayed</v>
      </c>
      <c r="O7" t="str">
        <f t="shared" si="2"/>
        <v>Online</v>
      </c>
      <c r="P7" t="str">
        <f t="shared" si="3"/>
        <v>Normal</v>
      </c>
      <c r="Q7" t="str">
        <f t="shared" si="4"/>
        <v>slow</v>
      </c>
      <c r="R7" s="3" t="str">
        <f t="shared" si="5"/>
        <v>Issue</v>
      </c>
      <c r="S7" t="str" cm="1">
        <f t="array" ref="S7">_xlfn.IFS(K7="Cancelled","High",AND(K7="Pending",G7&gt;3000),"Medium",TRUE,"Low")</f>
        <v>Medium</v>
      </c>
      <c r="T7">
        <f t="shared" si="6"/>
        <v>150</v>
      </c>
      <c r="U7" s="3" t="str">
        <f t="shared" si="7"/>
        <v>Normal</v>
      </c>
    </row>
    <row r="8" spans="1:21">
      <c r="A8">
        <v>1007</v>
      </c>
      <c r="B8" t="s">
        <v>42</v>
      </c>
      <c r="C8" t="s">
        <v>27</v>
      </c>
      <c r="D8" t="s">
        <v>32</v>
      </c>
      <c r="E8">
        <v>6</v>
      </c>
      <c r="F8">
        <v>110</v>
      </c>
      <c r="G8">
        <v>660</v>
      </c>
      <c r="H8" t="s">
        <v>24</v>
      </c>
      <c r="I8" s="2">
        <v>45674</v>
      </c>
      <c r="J8" s="2">
        <v>45674</v>
      </c>
      <c r="K8" t="s">
        <v>25</v>
      </c>
      <c r="L8" t="str">
        <f t="shared" si="0"/>
        <v>Low value</v>
      </c>
      <c r="M8" s="3" cm="1">
        <f t="array" ref="M8">_xlfn.IFS(D8="Electronics",0.1,D8="Fashion",0.08,D8="Beauty",0.05,TRUE,0.02)</f>
        <v>0.02</v>
      </c>
      <c r="N8" t="str">
        <f t="shared" si="1"/>
        <v>On-time</v>
      </c>
      <c r="O8" t="str">
        <f t="shared" si="2"/>
        <v>Online</v>
      </c>
      <c r="P8" t="str">
        <f t="shared" si="3"/>
        <v>Fast Delivery</v>
      </c>
      <c r="Q8" t="str">
        <f t="shared" si="4"/>
        <v>Fast</v>
      </c>
      <c r="R8" s="3" t="str">
        <f t="shared" si="5"/>
        <v>OK</v>
      </c>
      <c r="S8" t="str" cm="1">
        <f t="array" ref="S8">_xlfn.IFS(K8="Cancelled","High",AND(K8="Pending",G8&gt;3000),"Medium",TRUE,"Low")</f>
        <v>Low</v>
      </c>
      <c r="T8">
        <f t="shared" si="6"/>
        <v>50</v>
      </c>
      <c r="U8" s="3" t="str">
        <f t="shared" si="7"/>
        <v>Normal</v>
      </c>
    </row>
    <row r="9" spans="1:21">
      <c r="A9">
        <v>1008</v>
      </c>
      <c r="B9" t="s">
        <v>43</v>
      </c>
      <c r="C9" t="s">
        <v>22</v>
      </c>
      <c r="D9" t="s">
        <v>28</v>
      </c>
      <c r="E9">
        <v>2</v>
      </c>
      <c r="F9">
        <v>900</v>
      </c>
      <c r="G9">
        <v>1800</v>
      </c>
      <c r="H9" t="s">
        <v>33</v>
      </c>
      <c r="I9" s="2">
        <v>45675</v>
      </c>
      <c r="J9" s="2">
        <v>45680</v>
      </c>
      <c r="K9" t="s">
        <v>25</v>
      </c>
      <c r="L9" t="str">
        <f t="shared" si="0"/>
        <v>Low value</v>
      </c>
      <c r="M9" s="3" cm="1">
        <f t="array" ref="M9">_xlfn.IFS(D9="Electronics",0.1,D9="Fashion",0.08,D9="Beauty",0.05,TRUE,0.02)</f>
        <v>0.08</v>
      </c>
      <c r="N9" t="str">
        <f t="shared" si="1"/>
        <v>On-time</v>
      </c>
      <c r="O9" t="str">
        <f t="shared" si="2"/>
        <v>Offline</v>
      </c>
      <c r="P9" t="str">
        <f t="shared" si="3"/>
        <v>Normal</v>
      </c>
      <c r="Q9" t="str">
        <f t="shared" si="4"/>
        <v>slow</v>
      </c>
      <c r="R9" s="3" t="str">
        <f t="shared" si="5"/>
        <v>OK</v>
      </c>
      <c r="S9" t="str" cm="1">
        <f t="array" ref="S9">_xlfn.IFS(K9="Cancelled","High",AND(K9="Pending",G9&gt;3000),"Medium",TRUE,"Low")</f>
        <v>Low</v>
      </c>
      <c r="T9">
        <f t="shared" si="6"/>
        <v>50</v>
      </c>
      <c r="U9" s="3" t="str">
        <f t="shared" si="7"/>
        <v>Normal</v>
      </c>
    </row>
    <row r="10" spans="1:21">
      <c r="A10">
        <v>1009</v>
      </c>
      <c r="B10" t="s">
        <v>44</v>
      </c>
      <c r="C10" t="s">
        <v>37</v>
      </c>
      <c r="D10" t="s">
        <v>38</v>
      </c>
      <c r="E10">
        <v>1</v>
      </c>
      <c r="F10">
        <v>750</v>
      </c>
      <c r="G10">
        <v>750</v>
      </c>
      <c r="H10" t="s">
        <v>24</v>
      </c>
      <c r="I10" s="2">
        <v>45675</v>
      </c>
      <c r="J10" s="2">
        <v>45676</v>
      </c>
      <c r="K10" t="s">
        <v>25</v>
      </c>
      <c r="L10" t="str">
        <f t="shared" si="0"/>
        <v>Low value</v>
      </c>
      <c r="M10" s="3" cm="1">
        <f t="array" ref="M10">_xlfn.IFS(D10="Electronics",0.1,D10="Fashion",0.08,D10="Beauty",0.05,TRUE,0.02)</f>
        <v>0.05</v>
      </c>
      <c r="N10" t="str">
        <f t="shared" si="1"/>
        <v>On-time</v>
      </c>
      <c r="O10" t="str">
        <f t="shared" si="2"/>
        <v>Online</v>
      </c>
      <c r="P10" t="str">
        <f t="shared" si="3"/>
        <v>Normal</v>
      </c>
      <c r="Q10" t="str">
        <f t="shared" si="4"/>
        <v>Medium</v>
      </c>
      <c r="R10" s="3" t="str">
        <f t="shared" si="5"/>
        <v>OK</v>
      </c>
      <c r="S10" t="str" cm="1">
        <f t="array" ref="S10">_xlfn.IFS(K10="Cancelled","High",AND(K10="Pending",G10&gt;3000),"Medium",TRUE,"Low")</f>
        <v>Low</v>
      </c>
      <c r="T10">
        <f t="shared" si="6"/>
        <v>50</v>
      </c>
      <c r="U10" s="3" t="str">
        <f t="shared" si="7"/>
        <v>Normal</v>
      </c>
    </row>
    <row r="11" spans="1:21">
      <c r="A11">
        <v>1010</v>
      </c>
      <c r="B11" t="s">
        <v>45</v>
      </c>
      <c r="C11" t="s">
        <v>31</v>
      </c>
      <c r="D11" t="s">
        <v>23</v>
      </c>
      <c r="E11">
        <v>3</v>
      </c>
      <c r="F11">
        <v>1500</v>
      </c>
      <c r="G11">
        <v>4500</v>
      </c>
      <c r="H11" t="s">
        <v>33</v>
      </c>
      <c r="I11" s="2">
        <v>45676</v>
      </c>
      <c r="J11" s="2">
        <v>45686</v>
      </c>
      <c r="K11" t="s">
        <v>41</v>
      </c>
      <c r="L11" t="str">
        <f t="shared" si="0"/>
        <v>High value</v>
      </c>
      <c r="M11" s="3" cm="1">
        <f t="array" ref="M11">_xlfn.IFS(D11="Electronics",0.1,D11="Fashion",0.08,D11="Beauty",0.05,TRUE,0.02)</f>
        <v>0.1</v>
      </c>
      <c r="N11" t="str">
        <f t="shared" si="1"/>
        <v>Delayed</v>
      </c>
      <c r="O11" t="str">
        <f t="shared" si="2"/>
        <v>Offline</v>
      </c>
      <c r="P11" t="str">
        <f t="shared" si="3"/>
        <v>Normal</v>
      </c>
      <c r="Q11" t="str">
        <f t="shared" si="4"/>
        <v>slow</v>
      </c>
      <c r="R11" s="3" t="str">
        <f t="shared" si="5"/>
        <v>Issue</v>
      </c>
      <c r="S11" t="str" cm="1">
        <f t="array" ref="S11">_xlfn.IFS(K11="Cancelled","High",AND(K11="Pending",G11&gt;3000),"Medium",TRUE,"Low")</f>
        <v>Medium</v>
      </c>
      <c r="T11">
        <f t="shared" si="6"/>
        <v>200</v>
      </c>
      <c r="U11" s="3" t="str">
        <f t="shared" si="7"/>
        <v>Normal</v>
      </c>
    </row>
  </sheetData>
  <conditionalFormatting sqref="L2:L11">
    <cfRule type="expression" dxfId="2" priority="3">
      <formula>$L2="HIgh value"</formula>
    </cfRule>
  </conditionalFormatting>
  <conditionalFormatting sqref="N2:N11">
    <cfRule type="expression" dxfId="1" priority="2">
      <formula>$N2="Delayed"</formula>
    </cfRule>
  </conditionalFormatting>
  <conditionalFormatting sqref="O2:O11">
    <cfRule type="expression" dxfId="0" priority="1">
      <formula>$O2="Offline"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2025-12-02T16:06:55Z</dcterms:created>
  <dcterms:modified xsi:type="dcterms:W3CDTF">2025-12-02T16:52:06Z</dcterms:modified>
  <cp:category/>
  <cp:contentStatus/>
</cp:coreProperties>
</file>