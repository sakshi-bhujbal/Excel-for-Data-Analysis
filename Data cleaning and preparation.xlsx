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18"/>
  <workbookPr/>
  <xr:revisionPtr revIDLastSave="0" documentId="8_{CF3C6EC6-C159-43BE-A8E2-9E9BFA85094E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Conditional Formatting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" i="1" l="1"/>
  <c r="S3" i="1"/>
  <c r="S4" i="1"/>
  <c r="S5" i="1"/>
  <c r="S6" i="1"/>
  <c r="S7" i="1"/>
  <c r="S8" i="1"/>
  <c r="S9" i="1"/>
  <c r="S10" i="1"/>
  <c r="E2" i="1"/>
  <c r="E3" i="1"/>
  <c r="E4" i="1"/>
  <c r="E5" i="1"/>
  <c r="E6" i="1"/>
  <c r="E7" i="1"/>
  <c r="E8" i="1"/>
  <c r="E9" i="1"/>
  <c r="E10" i="1"/>
  <c r="D2" i="1"/>
  <c r="D4" i="1"/>
  <c r="D5" i="1"/>
  <c r="D6" i="1"/>
  <c r="D7" i="1"/>
  <c r="D8" i="1"/>
  <c r="D9" i="1"/>
  <c r="D10" i="1"/>
  <c r="D3" i="1"/>
  <c r="C2" i="1"/>
  <c r="C3" i="1"/>
  <c r="C4" i="1"/>
  <c r="C5" i="1"/>
  <c r="C6" i="1"/>
  <c r="C7" i="1"/>
  <c r="C8" i="1"/>
  <c r="C9" i="1"/>
  <c r="C10" i="1"/>
  <c r="H2" i="1"/>
  <c r="I2" i="1" s="1"/>
  <c r="H3" i="1"/>
  <c r="I3" i="1" s="1"/>
  <c r="H4" i="1"/>
  <c r="I4" i="1" s="1"/>
  <c r="H5" i="1"/>
  <c r="I5" i="1" s="1"/>
  <c r="H6" i="1"/>
  <c r="I6" i="1" s="1"/>
  <c r="H7" i="1"/>
  <c r="I7" i="1" s="1"/>
  <c r="H8" i="1"/>
  <c r="I8" i="1" s="1"/>
  <c r="H9" i="1"/>
  <c r="I9" i="1" s="1"/>
  <c r="H10" i="1"/>
  <c r="I10" i="1" s="1"/>
  <c r="G2" i="1"/>
  <c r="G3" i="1"/>
  <c r="G4" i="1"/>
  <c r="G5" i="1"/>
  <c r="G6" i="1"/>
  <c r="G7" i="1"/>
  <c r="G8" i="1"/>
  <c r="G9" i="1"/>
  <c r="G10" i="1"/>
</calcChain>
</file>

<file path=xl/sharedStrings.xml><?xml version="1.0" encoding="utf-8"?>
<sst xmlns="http://schemas.openxmlformats.org/spreadsheetml/2006/main" count="86" uniqueCount="71">
  <si>
    <t>OrderID</t>
  </si>
  <si>
    <t>CustomerName</t>
  </si>
  <si>
    <t>proper cust name</t>
  </si>
  <si>
    <t>Split name</t>
  </si>
  <si>
    <t>Split surname</t>
  </si>
  <si>
    <t>Email</t>
  </si>
  <si>
    <t>email len with spaces</t>
  </si>
  <si>
    <t>Email without spaces</t>
  </si>
  <si>
    <t>len of email without spaces</t>
  </si>
  <si>
    <t>Phone</t>
  </si>
  <si>
    <t>Product</t>
  </si>
  <si>
    <t>Category</t>
  </si>
  <si>
    <t>OrderDate</t>
  </si>
  <si>
    <t>Quantity</t>
  </si>
  <si>
    <t>Price</t>
  </si>
  <si>
    <t>Discount</t>
  </si>
  <si>
    <t>Total</t>
  </si>
  <si>
    <t>Status</t>
  </si>
  <si>
    <t>Rating</t>
  </si>
  <si>
    <t>City</t>
  </si>
  <si>
    <t>Address</t>
  </si>
  <si>
    <t>Rishi sharma</t>
  </si>
  <si>
    <t xml:space="preserve">   rishi.sharma @gmail.com</t>
  </si>
  <si>
    <t>WirelessMouse</t>
  </si>
  <si>
    <t>Electronics</t>
  </si>
  <si>
    <t>Delivered</t>
  </si>
  <si>
    <t>Pune</t>
  </si>
  <si>
    <t>12MGRoad</t>
  </si>
  <si>
    <t>aarti Patil</t>
  </si>
  <si>
    <t>aarti..patil@gmail .com</t>
  </si>
  <si>
    <t>RunningShoes</t>
  </si>
  <si>
    <t>Fashion</t>
  </si>
  <si>
    <t>Mumbai</t>
  </si>
  <si>
    <t>45Churchgate</t>
  </si>
  <si>
    <t>Meera PillaI</t>
  </si>
  <si>
    <t xml:space="preserve">meera.pillai@@gmail.com  </t>
  </si>
  <si>
    <t>StudyTable</t>
  </si>
  <si>
    <t>Furniture</t>
  </si>
  <si>
    <t>102AndheriEast</t>
  </si>
  <si>
    <t>Sneha Kadam</t>
  </si>
  <si>
    <t xml:space="preserve">sneha kadam @yahoo.com   </t>
  </si>
  <si>
    <t>BluetoothSpeaker</t>
  </si>
  <si>
    <t>Cancelled</t>
  </si>
  <si>
    <t>88FCRoad</t>
  </si>
  <si>
    <t>Arjun d</t>
  </si>
  <si>
    <t xml:space="preserve">   arjun @gmail.com</t>
  </si>
  <si>
    <t>n/a</t>
  </si>
  <si>
    <t>T-shirt</t>
  </si>
  <si>
    <t>Delhi</t>
  </si>
  <si>
    <t>Rahul j</t>
  </si>
  <si>
    <t>rahul.j@gmail. com</t>
  </si>
  <si>
    <t>Earphones</t>
  </si>
  <si>
    <t>Returned</t>
  </si>
  <si>
    <t>Chennai</t>
  </si>
  <si>
    <t>14AnnaNagar</t>
  </si>
  <si>
    <t>Kavita Sharma</t>
  </si>
  <si>
    <t>kavita.sharma@gmail.com</t>
  </si>
  <si>
    <t>WaterBottle</t>
  </si>
  <si>
    <t>Sports</t>
  </si>
  <si>
    <t>33Baner</t>
  </si>
  <si>
    <t>Tejas Kulkarni</t>
  </si>
  <si>
    <t>tejas1998 @gmail.com</t>
  </si>
  <si>
    <t>Backpack</t>
  </si>
  <si>
    <t>Pending</t>
  </si>
  <si>
    <t>72Dadar</t>
  </si>
  <si>
    <t>Priya m</t>
  </si>
  <si>
    <t xml:space="preserve">priya@gmail com          </t>
  </si>
  <si>
    <t>MixerGrinder</t>
  </si>
  <si>
    <t>HomeN/A&amp;N/AKitchen</t>
  </si>
  <si>
    <t>Bengaluru</t>
  </si>
  <si>
    <t>16MGRoad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</si>
</sst>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2" fillId="0" borderId="0" xfId="0" applyFont="1"/>
    <xf numFmtId="14" fontId="0" fillId="0" borderId="0" xfId="0" applyNumberFormat="1"/>
    <xf numFmtId="0" fontId="2" fillId="0" borderId="0" xfId="0" applyFont="1" applyAlignment="1">
      <alignment wrapText="1"/>
    </xf>
    <xf numFmtId="0" fontId="3" fillId="0" borderId="0" xfId="0" applyFont="1" applyFill="1" applyBorder="1" applyAlignment="1"/>
    <xf numFmtId="0" fontId="1" fillId="0" borderId="0" xfId="1" applyFill="1" applyBorder="1" applyAlignment="1"/>
    <xf numFmtId="0" fontId="3" fillId="2" borderId="0" xfId="0" applyFont="1" applyFill="1" applyBorder="1" applyAlignment="1"/>
    <xf numFmtId="0" fontId="3" fillId="2" borderId="0" xfId="0" applyFont="1" applyFill="1" applyBorder="1" applyAlignment="1">
      <alignment wrapText="1"/>
    </xf>
  </cellXfs>
  <cellStyles count="2">
    <cellStyle name="Hyperlink" xfId="1" builtinId="8"/>
    <cellStyle name="Normal" xfId="0" builtinId="0"/>
  </cellStyles>
  <dxfs count="11">
    <dxf>
      <numFmt numFmtId="0" formatCode="General"/>
    </dxf>
    <dxf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AC2AD0D-19ED-4494-BD08-5C28560963ED}" name="Table1" displayName="Table1" ref="A1:U10" totalsRowShown="0" headerRowDxfId="8">
  <autoFilter ref="A1:U10" xr:uid="{3AC2AD0D-19ED-4494-BD08-5C28560963ED}"/>
  <tableColumns count="21">
    <tableColumn id="1" xr3:uid="{81D86396-4DCF-4B03-A1F5-F009E4005875}" name="OrderID"/>
    <tableColumn id="2" xr3:uid="{707BB6D0-9097-438A-A9FB-FEB3A01FCBFD}" name="CustomerName"/>
    <tableColumn id="18" xr3:uid="{35C8BE10-49FC-465A-B693-5E4526A1B8C3}" name="proper cust name" dataDxfId="7">
      <calculatedColumnFormula>PROPER(Table1[[#This Row],[CustomerName]])</calculatedColumnFormula>
    </tableColumn>
    <tableColumn id="19" xr3:uid="{BD3C54BC-29A3-4A65-AD9E-4665199D49E6}" name="Split name" dataDxfId="6">
      <calculatedColumnFormula>LEFT(Table1[[#This Row],[CustomerName]],FIND(" ",Table1[[#This Row],[CustomerName]],1)-1)</calculatedColumnFormula>
    </tableColumn>
    <tableColumn id="20" xr3:uid="{F6771B01-C13F-47EA-B37F-74A6A41012D2}" name="Split surname" dataDxfId="5">
      <calculatedColumnFormula>RIGHT(Table1[[#This Row],[CustomerName]],LEN(Table1[[#This Row],[CustomerName]])-FIND(" ",Table1[[#This Row],[CustomerName]],1))</calculatedColumnFormula>
    </tableColumn>
    <tableColumn id="3" xr3:uid="{339FCFEC-181F-42E7-BB55-0987A75A7006}" name="Email"/>
    <tableColumn id="15" xr3:uid="{3E92AB53-FCED-457D-BCF9-5702636717D0}" name="email len with spaces" dataDxfId="4">
      <calculatedColumnFormula>LEN(Table1[[#This Row],[Email]])</calculatedColumnFormula>
    </tableColumn>
    <tableColumn id="17" xr3:uid="{D68B4DEE-2029-44B0-B76E-86748928CBED}" name="Email without spaces" dataDxfId="3">
      <calculatedColumnFormula>TRIM(Table1[[#This Row],[Email]])</calculatedColumnFormula>
    </tableColumn>
    <tableColumn id="16" xr3:uid="{CE5106E2-1B33-49BE-8268-525B24674FD3}" name="len of email without spaces" dataDxfId="2">
      <calculatedColumnFormula>LEN(Table1[[#This Row],[Email without spaces]])</calculatedColumnFormula>
    </tableColumn>
    <tableColumn id="4" xr3:uid="{87329844-D476-4701-AA65-F281B314D5B8}" name="Phone"/>
    <tableColumn id="5" xr3:uid="{ABC05F22-E43D-4B09-8AD6-6727EF27FC27}" name="Product"/>
    <tableColumn id="6" xr3:uid="{8DA854EA-9A38-4FD3-818A-99BE5D1028E9}" name="Category"/>
    <tableColumn id="7" xr3:uid="{924628EB-9722-47A1-85F8-5F5ACC2BCABF}" name="OrderDate" dataDxfId="1"/>
    <tableColumn id="8" xr3:uid="{4E4DCD93-7606-4802-A900-61A9C0BA945C}" name="Quantity"/>
    <tableColumn id="9" xr3:uid="{2A9B53A6-BA43-4632-AD2F-BDAB74AC5532}" name="Price"/>
    <tableColumn id="10" xr3:uid="{0AF44ABB-8583-4F78-94A4-90D6FF5E6FD5}" name="Discount"/>
    <tableColumn id="11" xr3:uid="{6CD03700-E41C-483E-A5B8-D7AADBE1461C}" name="Total"/>
    <tableColumn id="12" xr3:uid="{25ABBBB9-73C9-4C0E-A71D-CAAF87945C07}" name="Status"/>
    <tableColumn id="21" xr3:uid="{5EA7D811-FDC4-4B33-BD81-C63F6241E523}" name="Rating" dataDxfId="0">
      <calculatedColumnFormula>IF(Table1[[#This Row],[Status]]="Delivered","rate us","what is your concern?")</calculatedColumnFormula>
    </tableColumn>
    <tableColumn id="13" xr3:uid="{420BC2CE-0F1E-4DEF-B190-12AA20A2C13C}" name="City"/>
    <tableColumn id="14" xr3:uid="{9EDD22F3-4AE5-40F1-A176-931C2E78EDA2}" name="Addres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eera.pillai@@gmail.com" TargetMode="External"/><Relationship Id="rId2" Type="http://schemas.openxmlformats.org/officeDocument/2006/relationships/hyperlink" Target="mailto:kavita.sharma@gmail.com" TargetMode="External"/><Relationship Id="rId1" Type="http://schemas.openxmlformats.org/officeDocument/2006/relationships/hyperlink" Target="mailto:aarti..patil@gmail%20.com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"/>
  <sheetViews>
    <sheetView tabSelected="1" workbookViewId="0">
      <selection activeCell="Q15" sqref="Q15"/>
    </sheetView>
  </sheetViews>
  <sheetFormatPr defaultRowHeight="15"/>
  <cols>
    <col min="1" max="1" width="10.140625" bestFit="1" customWidth="1"/>
    <col min="2" max="2" width="17.140625" bestFit="1" customWidth="1"/>
    <col min="3" max="5" width="17.140625" customWidth="1"/>
    <col min="6" max="6" width="25.140625" bestFit="1" customWidth="1"/>
    <col min="7" max="9" width="25.140625" customWidth="1"/>
    <col min="10" max="10" width="11.7109375" bestFit="1" customWidth="1"/>
    <col min="11" max="11" width="16.5703125" bestFit="1" customWidth="1"/>
    <col min="12" max="12" width="14.5703125" bestFit="1" customWidth="1"/>
    <col min="13" max="13" width="12.42578125" bestFit="1" customWidth="1"/>
    <col min="14" max="14" width="10.7109375" bestFit="1" customWidth="1"/>
    <col min="16" max="16" width="11.140625" bestFit="1" customWidth="1"/>
    <col min="18" max="18" width="9.5703125" bestFit="1" customWidth="1"/>
    <col min="19" max="19" width="19.42578125" bestFit="1" customWidth="1"/>
    <col min="20" max="20" width="9.5703125" bestFit="1" customWidth="1"/>
    <col min="21" max="21" width="20.85546875" bestFit="1" customWidth="1"/>
    <col min="22" max="22" width="24" bestFit="1" customWidth="1"/>
  </cols>
  <sheetData>
    <row r="1" spans="1:21">
      <c r="A1" s="1" t="s">
        <v>0</v>
      </c>
      <c r="B1" s="1" t="s">
        <v>1</v>
      </c>
      <c r="C1" s="3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ht="25.5" customHeight="1">
      <c r="A2">
        <v>1001</v>
      </c>
      <c r="B2" s="6" t="s">
        <v>21</v>
      </c>
      <c r="C2" s="6" t="str">
        <f>PROPER(Table1[[#This Row],[CustomerName]])</f>
        <v>Rishi Sharma</v>
      </c>
      <c r="D2" s="6" t="str">
        <f>LEFT(Table1[[#This Row],[CustomerName]],FIND(" ",Table1[[#This Row],[CustomerName]],1)-1)</f>
        <v>Rishi</v>
      </c>
      <c r="E2" s="7" t="str">
        <f>RIGHT(Table1[[#This Row],[CustomerName]],LEN(Table1[[#This Row],[CustomerName]])-FIND(" ",Table1[[#This Row],[CustomerName]],1))</f>
        <v>sharma</v>
      </c>
      <c r="F2" s="6" t="s">
        <v>22</v>
      </c>
      <c r="G2" s="6">
        <f>LEN(Table1[[#This Row],[Email]])</f>
        <v>26</v>
      </c>
      <c r="H2" s="6" t="str">
        <f>TRIM(Table1[[#This Row],[Email]])</f>
        <v>rishi.sharma @gmail.com</v>
      </c>
      <c r="I2" s="6">
        <f>LEN(Table1[[#This Row],[Email without spaces]])</f>
        <v>23</v>
      </c>
      <c r="J2">
        <v>9876543210</v>
      </c>
      <c r="K2" t="s">
        <v>23</v>
      </c>
      <c r="L2" t="s">
        <v>24</v>
      </c>
      <c r="M2" s="2">
        <v>45485</v>
      </c>
      <c r="N2">
        <v>2</v>
      </c>
      <c r="O2">
        <v>599</v>
      </c>
      <c r="P2">
        <v>0</v>
      </c>
      <c r="Q2">
        <v>1198</v>
      </c>
      <c r="R2" t="s">
        <v>25</v>
      </c>
      <c r="S2" t="str">
        <f>IF(Table1[[#This Row],[Status]]="Delivered","rate us","what is your concern?")</f>
        <v>rate us</v>
      </c>
      <c r="T2" t="s">
        <v>26</v>
      </c>
      <c r="U2" t="s">
        <v>27</v>
      </c>
    </row>
    <row r="3" spans="1:21">
      <c r="A3">
        <v>1002</v>
      </c>
      <c r="B3" s="4" t="s">
        <v>28</v>
      </c>
      <c r="C3" s="4" t="str">
        <f>PROPER(Table1[[#This Row],[CustomerName]])</f>
        <v>Aarti Patil</v>
      </c>
      <c r="D3" s="4" t="str">
        <f>LEFT(Table1[[#This Row],[CustomerName]],FIND(" ",Table1[[#This Row],[CustomerName]],1)-1)</f>
        <v>aarti</v>
      </c>
      <c r="E3" s="4" t="str">
        <f>RIGHT(Table1[[#This Row],[CustomerName]],LEN(Table1[[#This Row],[CustomerName]])-FIND(" ",Table1[[#This Row],[CustomerName]],1))</f>
        <v>Patil</v>
      </c>
      <c r="F3" s="5" t="s">
        <v>29</v>
      </c>
      <c r="G3" s="5">
        <f>LEN(Table1[[#This Row],[Email]])</f>
        <v>23</v>
      </c>
      <c r="H3" s="5" t="str">
        <f>TRIM(Table1[[#This Row],[Email]])</f>
        <v>aarti..patil@gmail .com</v>
      </c>
      <c r="I3" s="5">
        <f>LEN(Table1[[#This Row],[Email without spaces]])</f>
        <v>23</v>
      </c>
      <c r="J3">
        <v>9988776655</v>
      </c>
      <c r="K3" t="s">
        <v>30</v>
      </c>
      <c r="L3" t="s">
        <v>31</v>
      </c>
      <c r="M3" s="2">
        <v>45487</v>
      </c>
      <c r="N3">
        <v>1</v>
      </c>
      <c r="O3">
        <v>2499</v>
      </c>
      <c r="P3">
        <v>10</v>
      </c>
      <c r="Q3">
        <v>2249</v>
      </c>
      <c r="R3" t="s">
        <v>25</v>
      </c>
      <c r="S3" t="str">
        <f>IF(Table1[[#This Row],[Status]]="Delivered","rate us","what is your concern?")</f>
        <v>rate us</v>
      </c>
      <c r="T3" t="s">
        <v>32</v>
      </c>
      <c r="U3" t="s">
        <v>33</v>
      </c>
    </row>
    <row r="4" spans="1:21">
      <c r="A4">
        <v>1006</v>
      </c>
      <c r="B4" s="4" t="s">
        <v>34</v>
      </c>
      <c r="C4" s="4" t="str">
        <f>PROPER(Table1[[#This Row],[CustomerName]])</f>
        <v>Meera Pillai</v>
      </c>
      <c r="D4" s="4" t="str">
        <f>LEFT(Table1[[#This Row],[CustomerName]],FIND(" ",Table1[[#This Row],[CustomerName]],1)-1)</f>
        <v>Meera</v>
      </c>
      <c r="E4" s="4" t="str">
        <f>RIGHT(Table1[[#This Row],[CustomerName]],LEN(Table1[[#This Row],[CustomerName]])-FIND(" ",Table1[[#This Row],[CustomerName]],1))</f>
        <v>PillaI</v>
      </c>
      <c r="F4" s="5" t="s">
        <v>35</v>
      </c>
      <c r="G4" s="4">
        <f>LEN(Table1[[#This Row],[Email]])</f>
        <v>25</v>
      </c>
      <c r="H4" s="4" t="str">
        <f>TRIM(Table1[[#This Row],[Email]])</f>
        <v>meera.pillai@@gmail.com</v>
      </c>
      <c r="I4" s="4">
        <f>LEN(Table1[[#This Row],[Email without spaces]])</f>
        <v>23</v>
      </c>
      <c r="J4">
        <v>9988001122</v>
      </c>
      <c r="K4" t="s">
        <v>36</v>
      </c>
      <c r="L4" t="s">
        <v>37</v>
      </c>
      <c r="M4" s="2">
        <v>45491</v>
      </c>
      <c r="N4">
        <v>1</v>
      </c>
      <c r="O4">
        <v>5999</v>
      </c>
      <c r="P4">
        <v>15</v>
      </c>
      <c r="Q4">
        <v>5099</v>
      </c>
      <c r="R4" t="s">
        <v>25</v>
      </c>
      <c r="S4" t="str">
        <f>IF(Table1[[#This Row],[Status]]="Delivered","rate us","what is your concern?")</f>
        <v>rate us</v>
      </c>
      <c r="T4" t="s">
        <v>32</v>
      </c>
      <c r="U4" t="s">
        <v>38</v>
      </c>
    </row>
    <row r="5" spans="1:21">
      <c r="A5">
        <v>1004</v>
      </c>
      <c r="B5" s="6" t="s">
        <v>39</v>
      </c>
      <c r="C5" s="6" t="str">
        <f>PROPER(Table1[[#This Row],[CustomerName]])</f>
        <v>Sneha Kadam</v>
      </c>
      <c r="D5" s="4" t="str">
        <f>LEFT(Table1[[#This Row],[CustomerName]],FIND(" ",Table1[[#This Row],[CustomerName]],1)-1)</f>
        <v>Sneha</v>
      </c>
      <c r="E5" s="4" t="str">
        <f>RIGHT(Table1[[#This Row],[CustomerName]],LEN(Table1[[#This Row],[CustomerName]])-FIND(" ",Table1[[#This Row],[CustomerName]],1))</f>
        <v>Kadam</v>
      </c>
      <c r="F5" s="6" t="s">
        <v>40</v>
      </c>
      <c r="G5" s="6">
        <f>LEN(Table1[[#This Row],[Email]])</f>
        <v>25</v>
      </c>
      <c r="H5" s="6" t="str">
        <f>TRIM(Table1[[#This Row],[Email]])</f>
        <v>sneha kadam @yahoo.com</v>
      </c>
      <c r="I5" s="6">
        <f>LEN(Table1[[#This Row],[Email without spaces]])</f>
        <v>22</v>
      </c>
      <c r="J5">
        <v>9988123456</v>
      </c>
      <c r="K5" t="s">
        <v>41</v>
      </c>
      <c r="L5" t="s">
        <v>24</v>
      </c>
      <c r="M5" s="2">
        <v>45489</v>
      </c>
      <c r="N5">
        <v>1</v>
      </c>
      <c r="O5">
        <v>1499</v>
      </c>
      <c r="P5">
        <v>-5</v>
      </c>
      <c r="Q5">
        <v>1424</v>
      </c>
      <c r="R5" t="s">
        <v>42</v>
      </c>
      <c r="S5" t="str">
        <f>IF(Table1[[#This Row],[Status]]="Delivered","rate us","what is your concern?")</f>
        <v>what is your concern?</v>
      </c>
      <c r="T5" t="s">
        <v>26</v>
      </c>
      <c r="U5" t="s">
        <v>43</v>
      </c>
    </row>
    <row r="6" spans="1:21">
      <c r="A6">
        <v>1005</v>
      </c>
      <c r="B6" s="4" t="s">
        <v>44</v>
      </c>
      <c r="C6" s="4" t="str">
        <f>PROPER(Table1[[#This Row],[CustomerName]])</f>
        <v>Arjun D</v>
      </c>
      <c r="D6" s="4" t="str">
        <f>LEFT(Table1[[#This Row],[CustomerName]],FIND(" ",Table1[[#This Row],[CustomerName]],1)-1)</f>
        <v>Arjun</v>
      </c>
      <c r="E6" s="4" t="str">
        <f>RIGHT(Table1[[#This Row],[CustomerName]],LEN(Table1[[#This Row],[CustomerName]])-FIND(" ",Table1[[#This Row],[CustomerName]],1))</f>
        <v>d</v>
      </c>
      <c r="F6" s="4" t="s">
        <v>45</v>
      </c>
      <c r="G6" s="4">
        <f>LEN(Table1[[#This Row],[Email]])</f>
        <v>19</v>
      </c>
      <c r="H6" s="4" t="str">
        <f>TRIM(Table1[[#This Row],[Email]])</f>
        <v>arjun @gmail.com</v>
      </c>
      <c r="I6" s="4">
        <f>LEN(Table1[[#This Row],[Email without spaces]])</f>
        <v>16</v>
      </c>
      <c r="J6" t="s">
        <v>46</v>
      </c>
      <c r="K6" t="s">
        <v>47</v>
      </c>
      <c r="L6" t="s">
        <v>31</v>
      </c>
      <c r="M6" s="2">
        <v>45490</v>
      </c>
      <c r="N6">
        <v>2</v>
      </c>
      <c r="O6">
        <v>499</v>
      </c>
      <c r="P6">
        <v>0</v>
      </c>
      <c r="Q6">
        <v>998</v>
      </c>
      <c r="R6" t="s">
        <v>25</v>
      </c>
      <c r="S6" t="str">
        <f>IF(Table1[[#This Row],[Status]]="Delivered","rate us","what is your concern?")</f>
        <v>rate us</v>
      </c>
      <c r="T6" t="s">
        <v>48</v>
      </c>
      <c r="U6" t="s">
        <v>46</v>
      </c>
    </row>
    <row r="7" spans="1:21">
      <c r="A7">
        <v>1007</v>
      </c>
      <c r="B7" s="6" t="s">
        <v>49</v>
      </c>
      <c r="C7" s="6" t="str">
        <f>PROPER(Table1[[#This Row],[CustomerName]])</f>
        <v>Rahul J</v>
      </c>
      <c r="D7" s="4" t="str">
        <f>LEFT(Table1[[#This Row],[CustomerName]],FIND(" ",Table1[[#This Row],[CustomerName]],1)-1)</f>
        <v>Rahul</v>
      </c>
      <c r="E7" s="4" t="str">
        <f>RIGHT(Table1[[#This Row],[CustomerName]],LEN(Table1[[#This Row],[CustomerName]])-FIND(" ",Table1[[#This Row],[CustomerName]],1))</f>
        <v>j</v>
      </c>
      <c r="F7" s="6" t="s">
        <v>50</v>
      </c>
      <c r="G7" s="6">
        <f>LEN(Table1[[#This Row],[Email]])</f>
        <v>18</v>
      </c>
      <c r="H7" s="6" t="str">
        <f>TRIM(Table1[[#This Row],[Email]])</f>
        <v>rahul.j@gmail. com</v>
      </c>
      <c r="I7" s="6">
        <f>LEN(Table1[[#This Row],[Email without spaces]])</f>
        <v>18</v>
      </c>
      <c r="J7">
        <v>9876540000</v>
      </c>
      <c r="K7" t="s">
        <v>51</v>
      </c>
      <c r="L7" t="s">
        <v>24</v>
      </c>
      <c r="M7" s="2">
        <v>45492</v>
      </c>
      <c r="N7">
        <v>-1</v>
      </c>
      <c r="O7">
        <v>299</v>
      </c>
      <c r="P7">
        <v>0</v>
      </c>
      <c r="Q7">
        <v>-299</v>
      </c>
      <c r="R7" t="s">
        <v>52</v>
      </c>
      <c r="S7" t="str">
        <f>IF(Table1[[#This Row],[Status]]="Delivered","rate us","what is your concern?")</f>
        <v>what is your concern?</v>
      </c>
      <c r="T7" t="s">
        <v>53</v>
      </c>
      <c r="U7" t="s">
        <v>54</v>
      </c>
    </row>
    <row r="8" spans="1:21">
      <c r="A8">
        <v>1008</v>
      </c>
      <c r="B8" s="4" t="s">
        <v>55</v>
      </c>
      <c r="C8" s="4" t="str">
        <f>PROPER(Table1[[#This Row],[CustomerName]])</f>
        <v>Kavita Sharma</v>
      </c>
      <c r="D8" s="4" t="str">
        <f>LEFT(Table1[[#This Row],[CustomerName]],FIND(" ",Table1[[#This Row],[CustomerName]],1)-1)</f>
        <v>Kavita</v>
      </c>
      <c r="E8" s="4" t="str">
        <f>RIGHT(Table1[[#This Row],[CustomerName]],LEN(Table1[[#This Row],[CustomerName]])-FIND(" ",Table1[[#This Row],[CustomerName]],1))</f>
        <v>Sharma</v>
      </c>
      <c r="F8" s="5" t="s">
        <v>56</v>
      </c>
      <c r="G8" s="5">
        <f>LEN(Table1[[#This Row],[Email]])</f>
        <v>23</v>
      </c>
      <c r="H8" s="5" t="str">
        <f>TRIM(Table1[[#This Row],[Email]])</f>
        <v>kavita.sharma@gmail.com</v>
      </c>
      <c r="I8" s="5">
        <f>LEN(Table1[[#This Row],[Email without spaces]])</f>
        <v>23</v>
      </c>
      <c r="J8">
        <v>9988997766</v>
      </c>
      <c r="K8" t="s">
        <v>57</v>
      </c>
      <c r="L8" t="s">
        <v>58</v>
      </c>
      <c r="M8" s="2">
        <v>45493</v>
      </c>
      <c r="N8">
        <v>2</v>
      </c>
      <c r="O8">
        <v>350</v>
      </c>
      <c r="P8">
        <v>0</v>
      </c>
      <c r="Q8">
        <v>700</v>
      </c>
      <c r="R8" t="s">
        <v>25</v>
      </c>
      <c r="S8" t="str">
        <f>IF(Table1[[#This Row],[Status]]="Delivered","rate us","what is your concern?")</f>
        <v>rate us</v>
      </c>
      <c r="T8" t="s">
        <v>26</v>
      </c>
      <c r="U8" t="s">
        <v>59</v>
      </c>
    </row>
    <row r="9" spans="1:21">
      <c r="A9">
        <v>1009</v>
      </c>
      <c r="B9" s="4" t="s">
        <v>60</v>
      </c>
      <c r="C9" s="4" t="str">
        <f>PROPER(Table1[[#This Row],[CustomerName]])</f>
        <v>Tejas Kulkarni</v>
      </c>
      <c r="D9" s="4" t="str">
        <f>LEFT(Table1[[#This Row],[CustomerName]],FIND(" ",Table1[[#This Row],[CustomerName]],1)-1)</f>
        <v>Tejas</v>
      </c>
      <c r="E9" s="4" t="str">
        <f>RIGHT(Table1[[#This Row],[CustomerName]],LEN(Table1[[#This Row],[CustomerName]])-FIND(" ",Table1[[#This Row],[CustomerName]],1))</f>
        <v>Kulkarni</v>
      </c>
      <c r="F9" s="4" t="s">
        <v>61</v>
      </c>
      <c r="G9" s="4">
        <f>LEN(Table1[[#This Row],[Email]])</f>
        <v>20</v>
      </c>
      <c r="H9" s="4" t="str">
        <f>TRIM(Table1[[#This Row],[Email]])</f>
        <v>tejas1998 @gmail.com</v>
      </c>
      <c r="I9" s="4">
        <f>LEN(Table1[[#This Row],[Email without spaces]])</f>
        <v>20</v>
      </c>
      <c r="J9">
        <v>9977665544</v>
      </c>
      <c r="K9" t="s">
        <v>62</v>
      </c>
      <c r="L9" t="s">
        <v>31</v>
      </c>
      <c r="M9" s="2">
        <v>45494</v>
      </c>
      <c r="N9">
        <v>1</v>
      </c>
      <c r="O9">
        <v>1299</v>
      </c>
      <c r="P9">
        <v>5</v>
      </c>
      <c r="Q9">
        <v>1234</v>
      </c>
      <c r="R9" t="s">
        <v>63</v>
      </c>
      <c r="S9" t="str">
        <f>IF(Table1[[#This Row],[Status]]="Delivered","rate us","what is your concern?")</f>
        <v>what is your concern?</v>
      </c>
      <c r="T9" t="s">
        <v>32</v>
      </c>
      <c r="U9" t="s">
        <v>64</v>
      </c>
    </row>
    <row r="10" spans="1:21">
      <c r="A10">
        <v>1010</v>
      </c>
      <c r="B10" s="4" t="s">
        <v>65</v>
      </c>
      <c r="C10" s="4" t="str">
        <f>PROPER(Table1[[#This Row],[CustomerName]])</f>
        <v>Priya M</v>
      </c>
      <c r="D10" s="4" t="str">
        <f>LEFT(Table1[[#This Row],[CustomerName]],FIND(" ",Table1[[#This Row],[CustomerName]],1)-1)</f>
        <v>Priya</v>
      </c>
      <c r="E10" s="4" t="str">
        <f>RIGHT(Table1[[#This Row],[CustomerName]],LEN(Table1[[#This Row],[CustomerName]])-FIND(" ",Table1[[#This Row],[CustomerName]],1))</f>
        <v>m</v>
      </c>
      <c r="F10" s="4" t="s">
        <v>66</v>
      </c>
      <c r="G10" s="4">
        <f>LEN(Table1[[#This Row],[Email]])</f>
        <v>25</v>
      </c>
      <c r="H10" s="4" t="str">
        <f>TRIM(Table1[[#This Row],[Email]])</f>
        <v>priya@gmail com</v>
      </c>
      <c r="I10" s="4">
        <f>LEN(Table1[[#This Row],[Email without spaces]])</f>
        <v>15</v>
      </c>
      <c r="J10" t="s">
        <v>46</v>
      </c>
      <c r="K10" t="s">
        <v>67</v>
      </c>
      <c r="L10" t="s">
        <v>68</v>
      </c>
      <c r="M10" s="2">
        <v>45495</v>
      </c>
      <c r="N10">
        <v>1</v>
      </c>
      <c r="O10">
        <v>3499</v>
      </c>
      <c r="P10">
        <v>0</v>
      </c>
      <c r="Q10">
        <v>3499</v>
      </c>
      <c r="R10" t="s">
        <v>25</v>
      </c>
      <c r="S10" t="str">
        <f>IF(Table1[[#This Row],[Status]]="Delivered","rate us","what is your concern?")</f>
        <v>rate us</v>
      </c>
      <c r="T10" t="s">
        <v>69</v>
      </c>
      <c r="U10" t="s">
        <v>70</v>
      </c>
    </row>
  </sheetData>
  <conditionalFormatting sqref="O2:O10">
    <cfRule type="expression" dxfId="10" priority="9">
      <formula>O2&gt;AVERAGE($O:$O)</formula>
    </cfRule>
  </conditionalFormatting>
  <conditionalFormatting sqref="A2:U10">
    <cfRule type="expression" dxfId="9" priority="1">
      <formula>$L2:$L11="Electronics"</formula>
    </cfRule>
  </conditionalFormatting>
  <dataValidations count="1">
    <dataValidation type="date" allowBlank="1" showInputMessage="1" showErrorMessage="1" sqref="M1:M1048576" xr:uid="{9C9E9E39-87A2-4599-9BD3-E6B32A7697E1}">
      <formula1>$M$2</formula1>
      <formula2>$M$10</formula2>
    </dataValidation>
  </dataValidations>
  <hyperlinks>
    <hyperlink ref="F3" r:id="rId1" xr:uid="{61DA7AFA-387A-4A27-B21A-00A3F9A7BC67}"/>
    <hyperlink ref="F8" r:id="rId2" xr:uid="{51DB9EE4-06E6-4F6C-BE82-EA4ED72E7CCB}"/>
    <hyperlink ref="F4" r:id="rId3" xr:uid="{99CE8261-C2B6-4DE0-99E0-D468EDA2F7C5}"/>
  </hyperlinks>
  <pageMargins left="0.7" right="0.7" top="0.75" bottom="0.75" header="0.3" footer="0.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2025-11-24T08:19:34Z</dcterms:created>
  <dcterms:modified xsi:type="dcterms:W3CDTF">2025-11-25T16:55:53Z</dcterms:modified>
  <cp:category/>
  <cp:contentStatus/>
</cp:coreProperties>
</file>